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os\1. DOCUMENTOS PERSONALES\UNIVERSIDAD\SEMESTRE VI\HPA 3\Laboratorios\"/>
    </mc:Choice>
  </mc:AlternateContent>
  <xr:revisionPtr revIDLastSave="0" documentId="13_ncr:1_{23853F59-153D-4116-96D3-75E695D4B0D6}" xr6:coauthVersionLast="47" xr6:coauthVersionMax="47" xr10:uidLastSave="{00000000-0000-0000-0000-000000000000}"/>
  <bookViews>
    <workbookView xWindow="-108" yWindow="-108" windowWidth="23256" windowHeight="13176" activeTab="1" xr2:uid="{721C37E1-56A9-4F34-B43D-41D8D5A8EE4B}"/>
  </bookViews>
  <sheets>
    <sheet name="Problema 2" sheetId="2" r:id="rId1"/>
    <sheet name="Problema 3" sheetId="1" r:id="rId2"/>
    <sheet name="Hoja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E3" i="1"/>
  <c r="E4" i="1"/>
  <c r="E5" i="1"/>
  <c r="E6" i="1"/>
  <c r="E7" i="1"/>
  <c r="D3" i="1"/>
  <c r="D4" i="1"/>
  <c r="D5" i="1"/>
  <c r="D6" i="1"/>
  <c r="D7" i="1"/>
  <c r="C3" i="1"/>
  <c r="C4" i="1"/>
  <c r="C5" i="1"/>
  <c r="C6" i="1"/>
  <c r="C7" i="1"/>
  <c r="F2" i="1"/>
  <c r="E2" i="1"/>
  <c r="D2" i="1"/>
  <c r="C2" i="1"/>
  <c r="C4" i="2"/>
  <c r="B4" i="2"/>
  <c r="D4" i="2" s="1"/>
  <c r="D3" i="2"/>
  <c r="D5" i="2"/>
  <c r="D6" i="2"/>
  <c r="C3" i="2"/>
  <c r="C5" i="2"/>
  <c r="C6" i="2"/>
  <c r="B3" i="2"/>
  <c r="B5" i="2"/>
  <c r="B6" i="2"/>
  <c r="C2" i="2"/>
  <c r="B2" i="2"/>
  <c r="D2" i="2" s="1"/>
</calcChain>
</file>

<file path=xl/sharedStrings.xml><?xml version="1.0" encoding="utf-8"?>
<sst xmlns="http://schemas.openxmlformats.org/spreadsheetml/2006/main" count="10" uniqueCount="10">
  <si>
    <t>Valor de Venta</t>
  </si>
  <si>
    <t>Descuento $</t>
  </si>
  <si>
    <t>Descuento %</t>
  </si>
  <si>
    <t>Venta Final</t>
  </si>
  <si>
    <t>Numero 1</t>
  </si>
  <si>
    <t>Numero 2</t>
  </si>
  <si>
    <t>SUMA</t>
  </si>
  <si>
    <t>RESTA</t>
  </si>
  <si>
    <t>MULTIPLICACION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</si>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</sst>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F9DE4-3B04-4560-8F4A-AC5C500A20BA}" name="Tabla1" displayName="Tabla1" ref="A1:D6" totalsRowShown="0">
  <autoFilter ref="A1:D6" xr:uid="{F42F9DE4-3B04-4560-8F4A-AC5C500A20BA}"/>
  <tableColumns count="4">
    <tableColumn id="1" xr3:uid="{BC7FD0B0-8987-4DF9-9986-A9588576A0C4}" name="Valor de Venta"/>
    <tableColumn id="2" xr3:uid="{1029C002-2A8F-4656-A7AF-2348DED0B25D}" name="Descuento $">
      <calculatedColumnFormula>IF(A2&gt;=500,A2*30%,IF(AND(A2&gt;300,A2&lt;=499),A2*20%,IF(AND(A2&gt;100,A2&lt;=299),A2*10%,0)))</calculatedColumnFormula>
    </tableColumn>
    <tableColumn id="3" xr3:uid="{A3231050-86F8-4CC6-913D-78FFE50C0C03}" name="Descuento %">
      <calculatedColumnFormula>IF(A2&gt;=500,30%,IF(AND(A2&gt;300,A2&lt;=499),20%,IF(AND(A2&gt;100,A2&lt;=299),10%,0%)))</calculatedColumnFormula>
    </tableColumn>
    <tableColumn id="4" xr3:uid="{F4245C20-6EB7-49F0-AB5D-4151F96FD649}" name="Venta Final">
      <calculatedColumnFormula>A2-B2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5CA6F3-CCA0-4BAD-AF18-95845F7039BB}" name="Tabla2" displayName="Tabla2" ref="A1:F7" totalsRowShown="0" headerRowDxfId="0" headerRowBorderDxfId="8" tableBorderDxfId="9" totalsRowBorderDxfId="7">
  <autoFilter ref="A1:F7" xr:uid="{AC5CA6F3-CCA0-4BAD-AF18-95845F7039BB}"/>
  <tableColumns count="6">
    <tableColumn id="1" xr3:uid="{6BC24782-77D7-4BD1-9062-14C799639160}" name="Numero 1" dataDxfId="6"/>
    <tableColumn id="2" xr3:uid="{C3706C83-5C58-4896-ABC4-642611B4DB88}" name="Numero 2" dataDxfId="5"/>
    <tableColumn id="3" xr3:uid="{521FF6C0-AF91-45FD-AD26-9B5E461719F9}" name="SUMA" dataDxfId="4">
      <calculatedColumnFormula>A2+B2</calculatedColumnFormula>
    </tableColumn>
    <tableColumn id="4" xr3:uid="{64531BF1-0597-4FDB-90C2-0846107C0F34}" name="RESTA" dataDxfId="3">
      <calculatedColumnFormula>A2-B2</calculatedColumnFormula>
    </tableColumn>
    <tableColumn id="5" xr3:uid="{43CD146F-DD28-4663-BF46-A2B55222B331}" name="MULTIPLICACION" dataDxfId="2">
      <calculatedColumnFormula>A2*B2</calculatedColumnFormula>
    </tableColumn>
    <tableColumn id="6" xr3:uid="{4FD682BD-DEF9-4B68-9A93-DCB571DCDFCB}" name="DIVISION" dataDxfId="1">
      <calculatedColumnFormula>A2/B2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68CF-8C3A-436C-BEE4-E6095BC68208}">
  <dimension ref="A1:D6"/>
  <sheetViews>
    <sheetView workbookViewId="0">
      <selection activeCell="C30" sqref="C30"/>
    </sheetView>
  </sheetViews>
  <sheetFormatPr baseColWidth="10" defaultRowHeight="14.4" x14ac:dyDescent="0.3"/>
  <cols>
    <col min="1" max="1" width="14.77734375" customWidth="1"/>
    <col min="2" max="2" width="13" customWidth="1"/>
    <col min="3" max="3" width="13.5546875" customWidth="1"/>
    <col min="4" max="4" width="1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</v>
      </c>
      <c r="B2">
        <f>IF(A2&gt;=500,A2*30%,IF(AND(A2&gt;300,A2&lt;=499),A2*20%,IF(AND(A2&gt;100,A2&lt;=299),A2*10%,0)))</f>
        <v>0</v>
      </c>
      <c r="C2">
        <f>IF(A2&gt;=500,30%,IF(AND(A2&gt;300,A2&lt;=499),20%,IF(AND(A2&gt;100,A2&lt;=299),10%,0%)))</f>
        <v>0</v>
      </c>
      <c r="D2">
        <f>A2-B2</f>
        <v>100</v>
      </c>
    </row>
    <row r="3" spans="1:4" x14ac:dyDescent="0.3">
      <c r="A3">
        <v>200</v>
      </c>
      <c r="B3">
        <f t="shared" ref="B3:B6" si="0">IF(A3&gt;=500,A3*30%,IF(AND(A3&gt;300,A3&lt;=499),A3*20%,IF(AND(A3&gt;100,A3&lt;=299),A3*10%,0)))</f>
        <v>20</v>
      </c>
      <c r="C3">
        <f t="shared" ref="C3:C6" si="1">IF(A3&gt;=500,30%,IF(AND(A3&gt;300,A3&lt;=499),20%,IF(AND(A3&gt;100,A3&lt;=299),10%,0%)))</f>
        <v>0.1</v>
      </c>
      <c r="D3">
        <f t="shared" ref="D3:D6" si="2">A3-B3</f>
        <v>180</v>
      </c>
    </row>
    <row r="4" spans="1:4" x14ac:dyDescent="0.3">
      <c r="A4">
        <v>300</v>
      </c>
      <c r="B4">
        <f>IF(A4&gt;=500,A4*30%,IF(AND(A4&gt;=300,A4&lt;=499),A4*20%,IF(AND(A4&gt;100,A4&lt;=299),A4*10%,0)))</f>
        <v>60</v>
      </c>
      <c r="C4">
        <f>IF(A4&gt;=500,30%,IF(AND(A4&gt;=300,A4&lt;=499),20%,IF(AND(A4&gt;100,A4&lt;=299),10%,0%)))</f>
        <v>0.2</v>
      </c>
      <c r="D4">
        <f t="shared" si="2"/>
        <v>240</v>
      </c>
    </row>
    <row r="5" spans="1:4" x14ac:dyDescent="0.3">
      <c r="A5">
        <v>400</v>
      </c>
      <c r="B5">
        <f t="shared" si="0"/>
        <v>80</v>
      </c>
      <c r="C5">
        <f t="shared" si="1"/>
        <v>0.2</v>
      </c>
      <c r="D5">
        <f t="shared" si="2"/>
        <v>320</v>
      </c>
    </row>
    <row r="6" spans="1:4" x14ac:dyDescent="0.3">
      <c r="A6">
        <v>500</v>
      </c>
      <c r="B6">
        <f t="shared" si="0"/>
        <v>150</v>
      </c>
      <c r="C6">
        <f t="shared" si="1"/>
        <v>0.3</v>
      </c>
      <c r="D6">
        <f t="shared" si="2"/>
        <v>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D814-B571-4E6E-A7F7-24EEA5CC53B5}">
  <dimension ref="A1:F7"/>
  <sheetViews>
    <sheetView tabSelected="1" workbookViewId="0">
      <selection activeCell="D5" sqref="D5"/>
    </sheetView>
  </sheetViews>
  <sheetFormatPr baseColWidth="10" defaultRowHeight="14.4" x14ac:dyDescent="0.3"/>
  <cols>
    <col min="5" max="5" width="17.21875" customWidth="1"/>
    <col min="6" max="6" width="10.6640625" customWidth="1"/>
  </cols>
  <sheetData>
    <row r="1" spans="1:6" x14ac:dyDescent="0.3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3" t="s">
        <v>9</v>
      </c>
    </row>
    <row r="2" spans="1:6" x14ac:dyDescent="0.3">
      <c r="A2" s="4">
        <v>6</v>
      </c>
      <c r="B2" s="5">
        <v>2</v>
      </c>
      <c r="C2" s="5">
        <f>A2+B2</f>
        <v>8</v>
      </c>
      <c r="D2" s="5">
        <f>A2-B2</f>
        <v>4</v>
      </c>
      <c r="E2" s="5">
        <f>A2*B2</f>
        <v>12</v>
      </c>
      <c r="F2" s="6">
        <f>A2/B2</f>
        <v>3</v>
      </c>
    </row>
    <row r="3" spans="1:6" x14ac:dyDescent="0.3">
      <c r="A3" s="4">
        <v>4</v>
      </c>
      <c r="B3" s="5">
        <v>2</v>
      </c>
      <c r="C3" s="5">
        <f t="shared" ref="C3:C7" si="0">A3+B3</f>
        <v>6</v>
      </c>
      <c r="D3" s="5">
        <f t="shared" ref="D3:D7" si="1">A3-B3</f>
        <v>2</v>
      </c>
      <c r="E3" s="5">
        <f t="shared" ref="E3:E7" si="2">A3*B3</f>
        <v>8</v>
      </c>
      <c r="F3" s="6">
        <f t="shared" ref="F3:F7" si="3">A3/B3</f>
        <v>2</v>
      </c>
    </row>
    <row r="4" spans="1:6" x14ac:dyDescent="0.3">
      <c r="A4" s="4">
        <v>10</v>
      </c>
      <c r="B4" s="5">
        <v>5</v>
      </c>
      <c r="C4" s="5">
        <f t="shared" si="0"/>
        <v>15</v>
      </c>
      <c r="D4" s="5">
        <f t="shared" si="1"/>
        <v>5</v>
      </c>
      <c r="E4" s="5">
        <f t="shared" si="2"/>
        <v>50</v>
      </c>
      <c r="F4" s="6">
        <f t="shared" si="3"/>
        <v>2</v>
      </c>
    </row>
    <row r="5" spans="1:6" x14ac:dyDescent="0.3">
      <c r="A5" s="4">
        <v>8</v>
      </c>
      <c r="B5" s="5">
        <v>9</v>
      </c>
      <c r="C5" s="5">
        <f t="shared" si="0"/>
        <v>17</v>
      </c>
      <c r="D5" s="5">
        <f t="shared" si="1"/>
        <v>-1</v>
      </c>
      <c r="E5" s="5">
        <f t="shared" si="2"/>
        <v>72</v>
      </c>
      <c r="F5" s="6">
        <f t="shared" si="3"/>
        <v>0.88888888888888884</v>
      </c>
    </row>
    <row r="6" spans="1:6" x14ac:dyDescent="0.3">
      <c r="A6" s="4">
        <v>34</v>
      </c>
      <c r="B6" s="5">
        <v>5</v>
      </c>
      <c r="C6" s="5">
        <f t="shared" si="0"/>
        <v>39</v>
      </c>
      <c r="D6" s="5">
        <f t="shared" si="1"/>
        <v>29</v>
      </c>
      <c r="E6" s="5">
        <f t="shared" si="2"/>
        <v>170</v>
      </c>
      <c r="F6" s="6">
        <f t="shared" si="3"/>
        <v>6.8</v>
      </c>
    </row>
    <row r="7" spans="1:6" x14ac:dyDescent="0.3">
      <c r="A7" s="7">
        <v>38</v>
      </c>
      <c r="B7" s="8">
        <v>10</v>
      </c>
      <c r="C7" s="8">
        <f t="shared" si="0"/>
        <v>48</v>
      </c>
      <c r="D7" s="8">
        <f t="shared" si="1"/>
        <v>28</v>
      </c>
      <c r="E7" s="8">
        <f t="shared" si="2"/>
        <v>380</v>
      </c>
      <c r="F7" s="9">
        <f t="shared" si="3"/>
        <v>3.8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C58F-F4CA-44C2-A71B-79B38D4B1D1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Problema 2</vt:lpstr>
      <vt:lpstr>Problema 3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MONTES</dc:creator>
  <cp:lastModifiedBy>VICTOR MONTES</cp:lastModifiedBy>
  <dcterms:created xsi:type="dcterms:W3CDTF">2026-08-24T13:22:54Z</dcterms:created>
  <dcterms:modified xsi:type="dcterms:W3CDTF">2026-08-24T15:02:45Z</dcterms:modified>
</cp:coreProperties>
</file>